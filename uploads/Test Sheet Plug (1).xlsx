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<sst xmlns="http://schemas.openxmlformats.org/spreadsheetml/2006/main" count="79" uniqueCount="37">
  <si>
    <t>C</t>
  </si>
  <si>
    <t>ZN51</t>
  </si>
  <si>
    <t>A</t>
  </si>
  <si>
    <t>Additional</t>
  </si>
  <si>
    <t>This is what customer is doing</t>
  </si>
  <si>
    <t>Package #</t>
  </si>
  <si>
    <t>Symbol</t>
  </si>
  <si>
    <t>Style</t>
  </si>
  <si>
    <t>Date</t>
  </si>
  <si>
    <t>Type</t>
  </si>
  <si>
    <t>Strike Or %</t>
  </si>
  <si>
    <t>Qty</t>
  </si>
  <si>
    <t>Call or Put</t>
  </si>
  <si>
    <t>Side</t>
  </si>
  <si>
    <t>Strike or (ref Price * %)</t>
  </si>
  <si>
    <t>Price (2 Decimal Places)</t>
  </si>
  <si>
    <t>%</t>
  </si>
  <si>
    <t>Delta</t>
  </si>
  <si>
    <t>Qty*Price*100</t>
  </si>
  <si>
    <t>Units</t>
  </si>
  <si>
    <t>Mult</t>
  </si>
  <si>
    <t>Ref Price Type</t>
  </si>
  <si>
    <t>Ref Price</t>
  </si>
  <si>
    <t>Notional</t>
  </si>
  <si>
    <t>Ref Notional</t>
  </si>
  <si>
    <t>Diff</t>
  </si>
  <si>
    <t>Janu</t>
  </si>
  <si>
    <t>SPY</t>
  </si>
  <si>
    <t>European CASH</t>
  </si>
  <si>
    <t>etf</t>
  </si>
  <si>
    <t>CALL</t>
  </si>
  <si>
    <t>BYO</t>
  </si>
  <si>
    <t>PUT</t>
  </si>
  <si>
    <t>SLO</t>
  </si>
  <si>
    <t>PLUG</t>
  </si>
  <si>
    <t>CASH</t>
  </si>
  <si>
    <t>Febu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</si>
</sst>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2" fontId="1" numFmtId="0" xfId="0" applyFill="1" applyFont="1"/>
    <xf borderId="0" fillId="0" fontId="1" numFmtId="9" xfId="0" applyFont="1" applyNumberFormat="1"/>
    <xf borderId="0" fillId="0" fontId="1" numFmtId="0" xfId="0" applyFon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25"/>
    <col customWidth="1" min="20" max="21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 t="s">
        <v>4</v>
      </c>
      <c r="J1" s="1"/>
      <c r="K1" s="1"/>
      <c r="L1" s="1"/>
      <c r="M1" s="1"/>
      <c r="N1" s="1"/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P2" s="1" t="s">
        <v>19</v>
      </c>
      <c r="Q2" s="1" t="s">
        <v>11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</row>
    <row r="3">
      <c r="A3" s="1" t="s">
        <v>26</v>
      </c>
      <c r="B3" s="1" t="s">
        <v>27</v>
      </c>
      <c r="C3" s="1" t="s">
        <v>28</v>
      </c>
      <c r="D3" s="2">
        <v>46387.0</v>
      </c>
      <c r="E3" s="1" t="s">
        <v>29</v>
      </c>
      <c r="F3" s="3">
        <v>0.01</v>
      </c>
      <c r="G3" s="1">
        <v>5361.0</v>
      </c>
      <c r="H3" s="1" t="s">
        <v>30</v>
      </c>
      <c r="I3" s="1" t="s">
        <v>31</v>
      </c>
      <c r="J3" s="4">
        <f t="shared" ref="J3:J10" si="1">IFERROR(L3*654.94,0.01)</f>
        <v>6.5494</v>
      </c>
      <c r="K3" s="5"/>
      <c r="L3" s="6">
        <f t="shared" ref="L3:L5" si="2">F3</f>
        <v>0.01</v>
      </c>
      <c r="N3" s="7">
        <f t="shared" ref="N3:N10" si="3">G3*K3*(100)</f>
        <v>0</v>
      </c>
    </row>
    <row r="4">
      <c r="A4" s="1" t="s">
        <v>26</v>
      </c>
      <c r="B4" s="1" t="s">
        <v>27</v>
      </c>
      <c r="C4" s="1" t="s">
        <v>28</v>
      </c>
      <c r="D4" s="2">
        <v>46387.0</v>
      </c>
      <c r="E4" s="1" t="s">
        <v>29</v>
      </c>
      <c r="F4" s="3">
        <v>0.91</v>
      </c>
      <c r="G4" s="1">
        <v>5361.0</v>
      </c>
      <c r="H4" s="1" t="s">
        <v>32</v>
      </c>
      <c r="I4" s="1" t="s">
        <v>33</v>
      </c>
      <c r="J4" s="4">
        <f t="shared" si="1"/>
        <v>595.9954</v>
      </c>
      <c r="K4" s="5"/>
      <c r="L4" s="6">
        <f t="shared" si="2"/>
        <v>0.91</v>
      </c>
      <c r="N4" s="7">
        <f t="shared" si="3"/>
        <v>0</v>
      </c>
    </row>
    <row r="5">
      <c r="A5" s="1" t="s">
        <v>26</v>
      </c>
      <c r="B5" s="1" t="s">
        <v>27</v>
      </c>
      <c r="C5" s="1" t="s">
        <v>28</v>
      </c>
      <c r="D5" s="2">
        <v>46387.0</v>
      </c>
      <c r="E5" s="1" t="s">
        <v>29</v>
      </c>
      <c r="F5" s="3">
        <v>1.0</v>
      </c>
      <c r="G5" s="1">
        <v>5361.0</v>
      </c>
      <c r="H5" s="1" t="s">
        <v>32</v>
      </c>
      <c r="I5" s="1" t="s">
        <v>31</v>
      </c>
      <c r="J5" s="4">
        <f t="shared" si="1"/>
        <v>654.94</v>
      </c>
      <c r="K5" s="5"/>
      <c r="L5" s="6">
        <f t="shared" si="2"/>
        <v>1</v>
      </c>
      <c r="N5" s="7">
        <f t="shared" si="3"/>
        <v>0</v>
      </c>
    </row>
    <row r="6">
      <c r="A6" s="1" t="s">
        <v>26</v>
      </c>
      <c r="B6" s="1" t="s">
        <v>27</v>
      </c>
      <c r="C6" s="1" t="s">
        <v>28</v>
      </c>
      <c r="D6" s="2">
        <v>46387.0</v>
      </c>
      <c r="E6" s="1" t="s">
        <v>29</v>
      </c>
      <c r="F6" s="1" t="s">
        <v>34</v>
      </c>
      <c r="G6" s="1">
        <v>5361.0</v>
      </c>
      <c r="H6" s="1" t="s">
        <v>30</v>
      </c>
      <c r="I6" s="1" t="s">
        <v>33</v>
      </c>
      <c r="J6" s="4">
        <f t="shared" si="1"/>
        <v>0</v>
      </c>
      <c r="K6" s="5"/>
      <c r="N6" s="7">
        <f t="shared" si="3"/>
        <v>0</v>
      </c>
      <c r="O6" s="7">
        <f>SUM(N3:N6)</f>
        <v>0</v>
      </c>
      <c r="P6" s="1">
        <v>0.0</v>
      </c>
      <c r="Q6" s="1">
        <v>5361.0</v>
      </c>
      <c r="R6" s="1">
        <v>99.0</v>
      </c>
      <c r="S6" s="1" t="s">
        <v>35</v>
      </c>
      <c r="T6" s="1">
        <v>654.94</v>
      </c>
      <c r="U6" s="8">
        <f>Q6*R6*T6</f>
        <v>347602200.7</v>
      </c>
      <c r="V6" s="7">
        <f>O6</f>
        <v>0</v>
      </c>
      <c r="W6" s="8">
        <f>U6-V6</f>
        <v>347602200.7</v>
      </c>
    </row>
    <row r="7">
      <c r="A7" s="1" t="s">
        <v>36</v>
      </c>
      <c r="B7" s="1" t="s">
        <v>27</v>
      </c>
      <c r="C7" s="1" t="s">
        <v>28</v>
      </c>
      <c r="D7" s="2">
        <v>46387.0</v>
      </c>
      <c r="E7" s="1" t="s">
        <v>29</v>
      </c>
      <c r="F7" s="3">
        <v>0.01002</v>
      </c>
      <c r="G7" s="1">
        <v>100.0</v>
      </c>
      <c r="H7" s="1" t="s">
        <v>30</v>
      </c>
      <c r="I7" s="1" t="s">
        <v>31</v>
      </c>
      <c r="J7" s="4">
        <f t="shared" si="1"/>
        <v>6.5624988</v>
      </c>
      <c r="K7" s="5"/>
      <c r="L7" s="6">
        <f t="shared" ref="L7:L9" si="4">F7</f>
        <v>0.01002</v>
      </c>
      <c r="N7" s="7">
        <f t="shared" si="3"/>
        <v>0</v>
      </c>
    </row>
    <row r="8">
      <c r="A8" s="1" t="s">
        <v>36</v>
      </c>
      <c r="B8" s="1" t="s">
        <v>27</v>
      </c>
      <c r="C8" s="1" t="s">
        <v>28</v>
      </c>
      <c r="D8" s="2">
        <v>46387.0</v>
      </c>
      <c r="E8" s="1" t="s">
        <v>29</v>
      </c>
      <c r="F8" s="3">
        <v>0.85002</v>
      </c>
      <c r="G8" s="1">
        <v>100.0</v>
      </c>
      <c r="H8" s="1" t="s">
        <v>32</v>
      </c>
      <c r="I8" s="1" t="s">
        <v>33</v>
      </c>
      <c r="J8" s="4">
        <f t="shared" si="1"/>
        <v>556.7120988</v>
      </c>
      <c r="K8" s="5"/>
      <c r="L8" s="6">
        <f t="shared" si="4"/>
        <v>0.85002</v>
      </c>
      <c r="N8" s="7">
        <f t="shared" si="3"/>
        <v>0</v>
      </c>
    </row>
    <row r="9">
      <c r="A9" s="1" t="s">
        <v>36</v>
      </c>
      <c r="B9" s="1" t="s">
        <v>27</v>
      </c>
      <c r="C9" s="1" t="s">
        <v>28</v>
      </c>
      <c r="D9" s="2">
        <v>46387.0</v>
      </c>
      <c r="E9" s="1" t="s">
        <v>29</v>
      </c>
      <c r="F9" s="3">
        <v>1.00002</v>
      </c>
      <c r="G9" s="1">
        <v>100.0</v>
      </c>
      <c r="H9" s="1" t="s">
        <v>32</v>
      </c>
      <c r="I9" s="1" t="s">
        <v>31</v>
      </c>
      <c r="J9" s="4">
        <f t="shared" si="1"/>
        <v>654.9530988</v>
      </c>
      <c r="K9" s="5"/>
      <c r="L9" s="6">
        <f t="shared" si="4"/>
        <v>1.00002</v>
      </c>
      <c r="N9" s="7">
        <f t="shared" si="3"/>
        <v>0</v>
      </c>
    </row>
    <row r="10">
      <c r="A10" s="1" t="s">
        <v>36</v>
      </c>
      <c r="B10" s="1" t="s">
        <v>27</v>
      </c>
      <c r="C10" s="1" t="s">
        <v>28</v>
      </c>
      <c r="D10" s="2">
        <v>46387.0</v>
      </c>
      <c r="E10" s="1" t="s">
        <v>29</v>
      </c>
      <c r="F10" s="1" t="s">
        <v>34</v>
      </c>
      <c r="G10" s="1">
        <v>100.0</v>
      </c>
      <c r="H10" s="1" t="s">
        <v>30</v>
      </c>
      <c r="I10" s="1" t="s">
        <v>33</v>
      </c>
      <c r="J10" s="4">
        <f t="shared" si="1"/>
        <v>0</v>
      </c>
      <c r="K10" s="5"/>
      <c r="N10" s="7">
        <f t="shared" si="3"/>
        <v>0</v>
      </c>
      <c r="O10" s="7">
        <f>SUM(N7:N10)</f>
        <v>0</v>
      </c>
      <c r="P10" s="1">
        <v>0.0</v>
      </c>
      <c r="Q10" s="1">
        <v>100.0</v>
      </c>
      <c r="R10" s="1">
        <v>98.998</v>
      </c>
      <c r="S10" s="1" t="s">
        <v>35</v>
      </c>
      <c r="T10" s="1">
        <v>654.94</v>
      </c>
      <c r="U10" s="8">
        <f>Q10*R10*T10</f>
        <v>6483775.012</v>
      </c>
      <c r="V10" s="7">
        <f>O10</f>
        <v>0</v>
      </c>
      <c r="W10" s="8">
        <f>U10-V10</f>
        <v>6483775.012</v>
      </c>
    </row>
    <row r="11">
      <c r="D11" s="2"/>
    </row>
    <row r="12">
      <c r="D12" s="2"/>
    </row>
  </sheetData>
  <drawing r:id="rId1"/>
</worksheet>
</file>